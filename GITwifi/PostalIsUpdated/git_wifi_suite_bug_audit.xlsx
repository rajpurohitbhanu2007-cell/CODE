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indings" sheetId="2" state="visible" r:id="rId4"/>
  </sheets>
  <definedNames>
    <definedName function="false" hidden="true" localSheetId="1" name="_xlnm._FilterDatabase" vbProcedure="false">Findings!$A$1:$D$61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<sst xmlns="http://schemas.openxmlformats.org/spreadsheetml/2006/main" count="196" uniqueCount="74">
  <si>
    <t xml:space="preserve">Audit of git_wifi_suite.py: 60 reported bugs</t>
  </si>
  <si>
    <t xml:space="preserve">Severity</t>
  </si>
  <si>
    <t xml:space="preserve">Fixed</t>
  </si>
  <si>
    <t xml:space="preserve">Partial</t>
  </si>
  <si>
    <t xml:space="preserve">Not fixed</t>
  </si>
  <si>
    <t xml:space="preserve">Total</t>
  </si>
  <si>
    <t xml:space="preserve">High</t>
  </si>
  <si>
    <t xml:space="preserve">Medium</t>
  </si>
  <si>
    <t xml:space="preserve">Low</t>
  </si>
  <si>
    <t xml:space="preserve">% of total</t>
  </si>
  <si>
    <t xml:space="preserve">Notes: Statuses were judged by behavior in the code, not by '# Bug N fix' comments, which are sometimes mislabeled. Source file was 3,385 lines vs 3,210 cited in the report. This sheet was rebuilt from the audit text in the shared chat; the .py file itself was not re-checked.</t>
  </si>
  <si>
    <t xml:space="preserve">#</t>
  </si>
  <si>
    <t xml:space="preserve">Status</t>
  </si>
  <si>
    <t xml:space="preserve">Evidence / notes</t>
  </si>
  <si>
    <t xml:space="preserve">Post-login verify now rejects re-displayed login pages (inputUsername, login in URL).</t>
  </si>
  <si>
    <t xml:space="preserve">Keepalive needs 3 consecutive failures before dropping the token.</t>
  </si>
  <si>
    <t xml:space="preserve">Accept loop breaks only if the listening socket is dead; per-client errors no longer kill it.</t>
  </si>
  <si>
    <t xml:space="preserve">Trust check needs exact current-gateway match or explicit allow-list; 172. prefix auto-trust removed.</t>
  </si>
  <si>
    <t xml:space="preserve">verify=False still on every request (auth, keepalive, logout, DoH, diagnostics; 15+ call sites).</t>
  </si>
  <si>
    <t xml:space="preserve">SSRF filter blocks private/link-local/unspecified/reserved ranges. Still doesn't block the proxy's own public interface IP; no proxy auth or client allow-list.</t>
  </si>
  <si>
    <t xml:space="preserve">Switching active profile calls core.logout() before re-probe. Editing the active profile's password or deleting it still only calls _force_probe(), leaving the old firewall session valid.</t>
  </si>
  <si>
    <t xml:space="preserve">_logout_in_progress guard flag prevents a duplicate thread every second.</t>
  </si>
  <si>
    <t xml:space="preserve">GetTickCount64 with proper unsigned handling and correct fallback.</t>
  </si>
  <si>
    <t xml:space="preserve">Fixed when pystray isn't installed (falls back to iconify()). Not fixed when pystray is installed but tray setup throws: window is already withdrawn based on HAS_PYSTRAY alone.</t>
  </si>
  <si>
    <t xml:space="preserve">Named-mutex single-instance guard added.</t>
  </si>
  <si>
    <t xml:space="preserve">Encrypt failures preserve old ciphertext instead of wiping it.</t>
  </si>
  <si>
    <t xml:space="preserve">Inconclusive vs rejected are now separate statuses.</t>
  </si>
  <si>
    <t xml:space="preserve">resp.url != fallback_target is still always true due to trailing-slash normalization.</t>
  </si>
  <si>
    <t xml:space="preserve">Stale portal_port still reused across networks (now defaults to 80 instead of 1000).</t>
  </si>
  <si>
    <t xml:space="preserve">172.15.1.2:8000 still hardcoded.</t>
  </si>
  <si>
    <t xml:space="preserve">auth_success still computed and ignored; current_magic not reset on the OPNsense branch.</t>
  </si>
  <si>
    <t xml:space="preserve">In-place portals with no redirect still treated as disconnected.</t>
  </si>
  <si>
    <t xml:space="preserve">Prefix match is still first-wins, not most-specific; UI star/label doesn't refresh on auto-switch.</t>
  </si>
  <si>
    <t xml:space="preserve">Gateway detection still ignores VPN routes.</t>
  </si>
  <si>
    <t xml:space="preserve">FortiGate keepalive uses allow_redirects=False.</t>
  </si>
  <si>
    <t xml:space="preserve">keepalive_interval validated with try/except.</t>
  </si>
  <si>
    <t xml:space="preserve">Hardcoded http:// when scraping logout page; alert('fail') still fires on deliberate sign-out; user_signed_out=True re-set at end of logout(), can override a mid-logout Force Re-Probe.</t>
  </si>
  <si>
    <t xml:space="preserve">BOM handled via utf-8-sig; type validation added.</t>
  </si>
  <si>
    <t xml:space="preserve">Negative index clamped in load_settings.</t>
  </si>
  <si>
    <t xml:space="preserve">Most settings refresh on restore; proxy enable/port/sniff checkbox and live proxy object never resynced.</t>
  </si>
  <si>
    <t xml:space="preserve">FileNotFoundError and token-leak-in-backup fixed; cross-machine DPAPI password loss still silent/unwarned.</t>
  </si>
  <si>
    <t xml:space="preserve">Save errors still print-only; at least one unlocked mutation remains in get_active_profile.</t>
  </si>
  <si>
    <t xml:space="preserve">Idle-minutes box only saves as a side effect of a checkbox click; invalid input silently dropped.</t>
  </si>
  <si>
    <t xml:space="preserve">'Hint only when empty' fixed; entries like http://x:8000 still stored raw, not normalized to bare hostname.</t>
  </si>
  <si>
    <t xml:space="preserve">update_bind_host only sets an attribute, doesn't rebind the live socket; get_hotspot_bind_ip unchanged.</t>
  </si>
  <si>
    <t xml:space="preserve">HotspotProxyServer.start() still swallows its own exception (GitWifiCore try/except is dead code); proxy_enabled=True persisted before success is confirmed; checkbox doesn't reset on failure. Only the 600ms status-label race was fixed.</t>
  </si>
  <si>
    <t xml:space="preserve">Still connects to only the first resolved address.</t>
  </si>
  <si>
    <t xml:space="preserve">urlsplit used; ;params preserved.</t>
  </si>
  <si>
    <t xml:space="preserve">Explicit https:// defaults to port 443.</t>
  </si>
  <si>
    <t xml:space="preserve">Still 10s per-recv with no overall header deadline; still 64 clients.</t>
  </si>
  <si>
    <t xml:space="preserve">Byte counters include initial request and CONNECT trailing bytes.</t>
  </si>
  <si>
    <t xml:space="preserve">Sniff mode and 'Copy Network Details' still expose full URLs, query strings and magic tokens.</t>
  </si>
  <si>
    <t xml:space="preserve">Language-agnostic ping regex.</t>
  </si>
  <si>
    <t xml:space="preserve">Worker skips when monitor disabled; live_mon_worker_running never cleared.</t>
  </si>
  <si>
    <t xml:space="preserve">NDIS filter/scheduler adapters excluded from sum. Physical + hotspot-virtual adapter double count and new-adapter lifetime-total spike untouched.</t>
  </si>
  <si>
    <t xml:space="preserve">Diagnostics DNS test queries the gateway, not real DNS servers; hardcodes 1.1.1.1 ignoring doh_endpoint; 'DoH fallback' is diagnostic-only.</t>
  </si>
  <si>
    <t xml:space="preserve">One socket got try/finally; two TCP connect-test sockets still leak on failure; _work() has no outer try/finally to re-enable the button.</t>
  </si>
  <si>
    <t xml:space="preserve">Idle guard checks for active hotspot clients.</t>
  </si>
  <si>
    <t xml:space="preserve">netsh wlan connect name=&lt;SSID&gt; still uses SSID instead of profile name; memory-only; takes first interface.</t>
  </si>
  <si>
    <t xml:space="preserve">Case-sensitive 'python.exe' replace; hardcoded script filename instead of __file__; no path-validity check.</t>
  </si>
  <si>
    <t xml:space="preserve">root.after() still called directly from ping-monitor and diagnostics worker threads instead of the queue.</t>
  </si>
  <si>
    <t xml:space="preserve">_tick_timer reschedule now in finally.</t>
  </si>
  <si>
    <t xml:space="preserve">'ing' in st.lower() substring color logic unchanged.</t>
  </si>
  <si>
    <t xml:space="preserve">bind_all('&lt;MouseWheel&gt;') still app-wide; int(delta/120) truncates to 0 on precision touchpads.</t>
  </si>
  <si>
    <t xml:space="preserve">.strip() only trims ends; an embedded newline in the custom UA still raises InvalidHeader.</t>
  </si>
  <si>
    <t xml:space="preserve">DNS flush reports success unconditionally, ignoring subprocess return code.</t>
  </si>
  <si>
    <t xml:space="preserve">Profile index logging consistently 1-based.</t>
  </si>
  <si>
    <t xml:space="preserve">restore_from_tray calls lift()/focus_force().</t>
  </si>
  <si>
    <t xml:space="preserve">Shared requests.Session between cycle/logout threads; status/portal reads without locks.</t>
  </si>
  <si>
    <t xml:space="preserve">start() has no join()/liveness guard against a lingering old _cycle thread.</t>
  </si>
  <si>
    <t xml:space="preserve">route print (via get_default_gateway()) still called twice per cycle.</t>
  </si>
  <si>
    <t xml:space="preserve">Redundant inner import ipaddress removed.</t>
  </si>
  <si>
    <t xml:space="preserve">_last_magic_raw no longer resurrected when last_magic is empty.</t>
  </si>
  <si>
    <t xml:space="preserve">Stealth mode still only changes the User-Agent header.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</si>
</sst>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5" min="5" style="0" width="1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3" t="s">
        <v>6</v>
      </c>
      <c r="B4" s="4" t="n">
        <f aca="false">COUNTIFS(Findings!$B$2:$B$61,$A4,Findings!$C$2:$C$61,"Fixed")</f>
        <v>8</v>
      </c>
      <c r="C4" s="4" t="n">
        <f aca="false">COUNTIFS(Findings!$B$2:$B$61,$A4,Findings!$C$2:$C$61,"Partial")</f>
        <v>3</v>
      </c>
      <c r="D4" s="4" t="n">
        <f aca="false">COUNTIFS(Findings!$B$2:$B$61,$A4,Findings!$C$2:$C$61,"Not fixed")</f>
        <v>1</v>
      </c>
      <c r="E4" s="4" t="n">
        <f aca="false">SUM(B4:D4)</f>
        <v>12</v>
      </c>
    </row>
    <row r="5" customFormat="false" ht="15" hidden="false" customHeight="false" outlineLevel="0" collapsed="false">
      <c r="A5" s="3" t="s">
        <v>7</v>
      </c>
      <c r="B5" s="4" t="n">
        <f aca="false">COUNTIFS(Findings!$B$2:$B$61,$A5,Findings!$C$2:$C$61,"Fixed")</f>
        <v>10</v>
      </c>
      <c r="C5" s="4" t="n">
        <f aca="false">COUNTIFS(Findings!$B$2:$B$61,$A5,Findings!$C$2:$C$61,"Partial")</f>
        <v>6</v>
      </c>
      <c r="D5" s="4" t="n">
        <f aca="false">COUNTIFS(Findings!$B$2:$B$61,$A5,Findings!$C$2:$C$61,"Not fixed")</f>
        <v>16</v>
      </c>
      <c r="E5" s="4" t="n">
        <f aca="false">SUM(B5:D5)</f>
        <v>32</v>
      </c>
    </row>
    <row r="6" customFormat="false" ht="15" hidden="false" customHeight="false" outlineLevel="0" collapsed="false">
      <c r="A6" s="3" t="s">
        <v>8</v>
      </c>
      <c r="B6" s="4" t="n">
        <f aca="false">COUNTIFS(Findings!$B$2:$B$61,$A6,Findings!$C$2:$C$61,"Fixed")</f>
        <v>5</v>
      </c>
      <c r="C6" s="4" t="n">
        <f aca="false">COUNTIFS(Findings!$B$2:$B$61,$A6,Findings!$C$2:$C$61,"Partial")</f>
        <v>0</v>
      </c>
      <c r="D6" s="4" t="n">
        <f aca="false">COUNTIFS(Findings!$B$2:$B$61,$A6,Findings!$C$2:$C$61,"Not fixed")</f>
        <v>11</v>
      </c>
      <c r="E6" s="4" t="n">
        <f aca="false">SUM(B6:D6)</f>
        <v>16</v>
      </c>
    </row>
    <row r="7" customFormat="false" ht="15" hidden="false" customHeight="false" outlineLevel="0" collapsed="false">
      <c r="A7" s="5" t="s">
        <v>5</v>
      </c>
      <c r="B7" s="6" t="n">
        <f aca="false">SUM(B4:B6)</f>
        <v>23</v>
      </c>
      <c r="C7" s="6" t="n">
        <f aca="false">SUM(C4:C6)</f>
        <v>9</v>
      </c>
      <c r="D7" s="6" t="n">
        <f aca="false">SUM(D4:D6)</f>
        <v>28</v>
      </c>
      <c r="E7" s="6" t="n">
        <f aca="false">SUM(E4:E6)</f>
        <v>60</v>
      </c>
    </row>
    <row r="8" customFormat="false" ht="15" hidden="false" customHeight="false" outlineLevel="0" collapsed="false">
      <c r="A8" s="7"/>
      <c r="B8" s="8"/>
      <c r="C8" s="8"/>
      <c r="D8" s="8"/>
      <c r="E8" s="8"/>
    </row>
    <row r="9" customFormat="false" ht="15" hidden="false" customHeight="false" outlineLevel="0" collapsed="false">
      <c r="A9" s="7" t="s">
        <v>9</v>
      </c>
      <c r="B9" s="9" t="n">
        <f aca="false">B7/$E$7</f>
        <v>0.383333333333333</v>
      </c>
      <c r="C9" s="9" t="n">
        <f aca="false">C7/$E$7</f>
        <v>0.15</v>
      </c>
      <c r="D9" s="9" t="n">
        <f aca="false">D7/$E$7</f>
        <v>0.466666666666667</v>
      </c>
      <c r="E9" s="8"/>
    </row>
    <row r="11" customFormat="false" ht="15" hidden="false" customHeight="true" outlineLevel="0" collapsed="false">
      <c r="A11" s="10" t="s">
        <v>10</v>
      </c>
      <c r="B11" s="10"/>
      <c r="C11" s="10"/>
      <c r="D11" s="10"/>
      <c r="E11" s="10"/>
    </row>
    <row r="12" customFormat="false" ht="15" hidden="false" customHeight="false" outlineLevel="0" collapsed="false">
      <c r="A12" s="10"/>
      <c r="B12" s="10"/>
      <c r="C12" s="10"/>
      <c r="D12" s="10"/>
      <c r="E12" s="10"/>
    </row>
    <row r="13" customFormat="false" ht="15" hidden="false" customHeight="false" outlineLevel="0" collapsed="false">
      <c r="A13" s="10"/>
      <c r="B13" s="10"/>
      <c r="C13" s="10"/>
      <c r="D13" s="10"/>
      <c r="E13" s="10"/>
    </row>
    <row r="14" customFormat="false" ht="15" hidden="false" customHeight="false" outlineLevel="0" collapsed="false">
      <c r="A14" s="10"/>
      <c r="B14" s="10"/>
      <c r="C14" s="10"/>
      <c r="D14" s="10"/>
      <c r="E14" s="10"/>
    </row>
  </sheetData>
  <mergeCells count="1">
    <mergeCell ref="A11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10"/>
  </cols>
  <sheetData>
    <row r="1" customFormat="false" ht="15" hidden="false" customHeight="false" outlineLevel="0" collapsed="false">
      <c r="A1" s="11" t="s">
        <v>11</v>
      </c>
      <c r="B1" s="11" t="s">
        <v>1</v>
      </c>
      <c r="C1" s="11" t="s">
        <v>12</v>
      </c>
      <c r="D1" s="11" t="s">
        <v>13</v>
      </c>
    </row>
    <row r="2" customFormat="false" ht="15" hidden="false" customHeight="false" outlineLevel="0" collapsed="false">
      <c r="A2" s="12" t="n">
        <v>1</v>
      </c>
      <c r="B2" s="12" t="s">
        <v>6</v>
      </c>
      <c r="C2" s="13" t="s">
        <v>2</v>
      </c>
      <c r="D2" s="14" t="s">
        <v>14</v>
      </c>
    </row>
    <row r="3" customFormat="false" ht="15" hidden="false" customHeight="false" outlineLevel="0" collapsed="false">
      <c r="A3" s="12" t="n">
        <v>2</v>
      </c>
      <c r="B3" s="12" t="s">
        <v>6</v>
      </c>
      <c r="C3" s="13" t="s">
        <v>2</v>
      </c>
      <c r="D3" s="14" t="s">
        <v>15</v>
      </c>
    </row>
    <row r="4" customFormat="false" ht="15" hidden="false" customHeight="false" outlineLevel="0" collapsed="false">
      <c r="A4" s="12" t="n">
        <v>3</v>
      </c>
      <c r="B4" s="12" t="s">
        <v>6</v>
      </c>
      <c r="C4" s="13" t="s">
        <v>2</v>
      </c>
      <c r="D4" s="14" t="s">
        <v>16</v>
      </c>
    </row>
    <row r="5" customFormat="false" ht="15" hidden="false" customHeight="false" outlineLevel="0" collapsed="false">
      <c r="A5" s="12" t="n">
        <v>4</v>
      </c>
      <c r="B5" s="12" t="s">
        <v>6</v>
      </c>
      <c r="C5" s="13" t="s">
        <v>2</v>
      </c>
      <c r="D5" s="14" t="s">
        <v>17</v>
      </c>
    </row>
    <row r="6" customFormat="false" ht="15" hidden="false" customHeight="false" outlineLevel="0" collapsed="false">
      <c r="A6" s="12" t="n">
        <v>5</v>
      </c>
      <c r="B6" s="12" t="s">
        <v>6</v>
      </c>
      <c r="C6" s="15" t="s">
        <v>4</v>
      </c>
      <c r="D6" s="14" t="s">
        <v>18</v>
      </c>
    </row>
    <row r="7" customFormat="false" ht="23.85" hidden="false" customHeight="false" outlineLevel="0" collapsed="false">
      <c r="A7" s="12" t="n">
        <v>6</v>
      </c>
      <c r="B7" s="12" t="s">
        <v>6</v>
      </c>
      <c r="C7" s="16" t="s">
        <v>3</v>
      </c>
      <c r="D7" s="14" t="s">
        <v>19</v>
      </c>
    </row>
    <row r="8" customFormat="false" ht="23.85" hidden="false" customHeight="false" outlineLevel="0" collapsed="false">
      <c r="A8" s="12" t="n">
        <v>7</v>
      </c>
      <c r="B8" s="12" t="s">
        <v>6</v>
      </c>
      <c r="C8" s="16" t="s">
        <v>3</v>
      </c>
      <c r="D8" s="14" t="s">
        <v>20</v>
      </c>
    </row>
    <row r="9" customFormat="false" ht="15" hidden="false" customHeight="false" outlineLevel="0" collapsed="false">
      <c r="A9" s="12" t="n">
        <v>8</v>
      </c>
      <c r="B9" s="12" t="s">
        <v>6</v>
      </c>
      <c r="C9" s="13" t="s">
        <v>2</v>
      </c>
      <c r="D9" s="14" t="s">
        <v>21</v>
      </c>
    </row>
    <row r="10" customFormat="false" ht="15" hidden="false" customHeight="false" outlineLevel="0" collapsed="false">
      <c r="A10" s="12" t="n">
        <v>9</v>
      </c>
      <c r="B10" s="12" t="s">
        <v>6</v>
      </c>
      <c r="C10" s="13" t="s">
        <v>2</v>
      </c>
      <c r="D10" s="14" t="s">
        <v>22</v>
      </c>
    </row>
    <row r="11" customFormat="false" ht="23.85" hidden="false" customHeight="false" outlineLevel="0" collapsed="false">
      <c r="A11" s="12" t="n">
        <v>10</v>
      </c>
      <c r="B11" s="12" t="s">
        <v>6</v>
      </c>
      <c r="C11" s="16" t="s">
        <v>3</v>
      </c>
      <c r="D11" s="14" t="s">
        <v>23</v>
      </c>
    </row>
    <row r="12" customFormat="false" ht="15" hidden="false" customHeight="false" outlineLevel="0" collapsed="false">
      <c r="A12" s="12" t="n">
        <v>11</v>
      </c>
      <c r="B12" s="12" t="s">
        <v>6</v>
      </c>
      <c r="C12" s="13" t="s">
        <v>2</v>
      </c>
      <c r="D12" s="14" t="s">
        <v>24</v>
      </c>
    </row>
    <row r="13" customFormat="false" ht="15" hidden="false" customHeight="false" outlineLevel="0" collapsed="false">
      <c r="A13" s="12" t="n">
        <v>12</v>
      </c>
      <c r="B13" s="12" t="s">
        <v>6</v>
      </c>
      <c r="C13" s="13" t="s">
        <v>2</v>
      </c>
      <c r="D13" s="14" t="s">
        <v>25</v>
      </c>
    </row>
    <row r="14" customFormat="false" ht="15" hidden="false" customHeight="false" outlineLevel="0" collapsed="false">
      <c r="A14" s="12" t="n">
        <v>13</v>
      </c>
      <c r="B14" s="12" t="s">
        <v>7</v>
      </c>
      <c r="C14" s="13" t="s">
        <v>2</v>
      </c>
      <c r="D14" s="14" t="s">
        <v>26</v>
      </c>
    </row>
    <row r="15" customFormat="false" ht="15" hidden="false" customHeight="false" outlineLevel="0" collapsed="false">
      <c r="A15" s="12" t="n">
        <v>14</v>
      </c>
      <c r="B15" s="12" t="s">
        <v>7</v>
      </c>
      <c r="C15" s="15" t="s">
        <v>4</v>
      </c>
      <c r="D15" s="14" t="s">
        <v>27</v>
      </c>
    </row>
    <row r="16" customFormat="false" ht="15" hidden="false" customHeight="false" outlineLevel="0" collapsed="false">
      <c r="A16" s="12" t="n">
        <v>15</v>
      </c>
      <c r="B16" s="12" t="s">
        <v>7</v>
      </c>
      <c r="C16" s="15" t="s">
        <v>4</v>
      </c>
      <c r="D16" s="14" t="s">
        <v>28</v>
      </c>
    </row>
    <row r="17" customFormat="false" ht="15" hidden="false" customHeight="false" outlineLevel="0" collapsed="false">
      <c r="A17" s="12" t="n">
        <v>16</v>
      </c>
      <c r="B17" s="12" t="s">
        <v>7</v>
      </c>
      <c r="C17" s="15" t="s">
        <v>4</v>
      </c>
      <c r="D17" s="14" t="s">
        <v>29</v>
      </c>
    </row>
    <row r="18" customFormat="false" ht="15" hidden="false" customHeight="false" outlineLevel="0" collapsed="false">
      <c r="A18" s="12" t="n">
        <v>17</v>
      </c>
      <c r="B18" s="12" t="s">
        <v>7</v>
      </c>
      <c r="C18" s="15" t="s">
        <v>4</v>
      </c>
      <c r="D18" s="14" t="s">
        <v>30</v>
      </c>
    </row>
    <row r="19" customFormat="false" ht="15" hidden="false" customHeight="false" outlineLevel="0" collapsed="false">
      <c r="A19" s="12" t="n">
        <v>18</v>
      </c>
      <c r="B19" s="12" t="s">
        <v>7</v>
      </c>
      <c r="C19" s="15" t="s">
        <v>4</v>
      </c>
      <c r="D19" s="14" t="s">
        <v>31</v>
      </c>
    </row>
    <row r="20" customFormat="false" ht="15" hidden="false" customHeight="false" outlineLevel="0" collapsed="false">
      <c r="A20" s="12" t="n">
        <v>19</v>
      </c>
      <c r="B20" s="12" t="s">
        <v>7</v>
      </c>
      <c r="C20" s="15" t="s">
        <v>4</v>
      </c>
      <c r="D20" s="14" t="s">
        <v>32</v>
      </c>
    </row>
    <row r="21" customFormat="false" ht="15" hidden="false" customHeight="false" outlineLevel="0" collapsed="false">
      <c r="A21" s="12" t="n">
        <v>20</v>
      </c>
      <c r="B21" s="12" t="s">
        <v>7</v>
      </c>
      <c r="C21" s="15" t="s">
        <v>4</v>
      </c>
      <c r="D21" s="14" t="s">
        <v>33</v>
      </c>
    </row>
    <row r="22" customFormat="false" ht="15" hidden="false" customHeight="false" outlineLevel="0" collapsed="false">
      <c r="A22" s="12" t="n">
        <v>21</v>
      </c>
      <c r="B22" s="12" t="s">
        <v>7</v>
      </c>
      <c r="C22" s="13" t="s">
        <v>2</v>
      </c>
      <c r="D22" s="14" t="s">
        <v>34</v>
      </c>
    </row>
    <row r="23" customFormat="false" ht="15" hidden="false" customHeight="false" outlineLevel="0" collapsed="false">
      <c r="A23" s="12" t="n">
        <v>22</v>
      </c>
      <c r="B23" s="12" t="s">
        <v>7</v>
      </c>
      <c r="C23" s="13" t="s">
        <v>2</v>
      </c>
      <c r="D23" s="14" t="s">
        <v>35</v>
      </c>
    </row>
    <row r="24" customFormat="false" ht="23.85" hidden="false" customHeight="false" outlineLevel="0" collapsed="false">
      <c r="A24" s="12" t="n">
        <v>23</v>
      </c>
      <c r="B24" s="12" t="s">
        <v>7</v>
      </c>
      <c r="C24" s="15" t="s">
        <v>4</v>
      </c>
      <c r="D24" s="14" t="s">
        <v>36</v>
      </c>
    </row>
    <row r="25" customFormat="false" ht="15" hidden="false" customHeight="false" outlineLevel="0" collapsed="false">
      <c r="A25" s="12" t="n">
        <v>24</v>
      </c>
      <c r="B25" s="12" t="s">
        <v>7</v>
      </c>
      <c r="C25" s="13" t="s">
        <v>2</v>
      </c>
      <c r="D25" s="14" t="s">
        <v>37</v>
      </c>
    </row>
    <row r="26" customFormat="false" ht="15" hidden="false" customHeight="false" outlineLevel="0" collapsed="false">
      <c r="A26" s="12" t="n">
        <v>25</v>
      </c>
      <c r="B26" s="12" t="s">
        <v>7</v>
      </c>
      <c r="C26" s="13" t="s">
        <v>2</v>
      </c>
      <c r="D26" s="14" t="s">
        <v>38</v>
      </c>
    </row>
    <row r="27" customFormat="false" ht="15" hidden="false" customHeight="false" outlineLevel="0" collapsed="false">
      <c r="A27" s="12" t="n">
        <v>26</v>
      </c>
      <c r="B27" s="12" t="s">
        <v>7</v>
      </c>
      <c r="C27" s="16" t="s">
        <v>3</v>
      </c>
      <c r="D27" s="14" t="s">
        <v>39</v>
      </c>
    </row>
    <row r="28" customFormat="false" ht="15" hidden="false" customHeight="false" outlineLevel="0" collapsed="false">
      <c r="A28" s="12" t="n">
        <v>27</v>
      </c>
      <c r="B28" s="12" t="s">
        <v>7</v>
      </c>
      <c r="C28" s="16" t="s">
        <v>3</v>
      </c>
      <c r="D28" s="14" t="s">
        <v>40</v>
      </c>
    </row>
    <row r="29" customFormat="false" ht="15" hidden="false" customHeight="false" outlineLevel="0" collapsed="false">
      <c r="A29" s="12" t="n">
        <v>28</v>
      </c>
      <c r="B29" s="12" t="s">
        <v>7</v>
      </c>
      <c r="C29" s="15" t="s">
        <v>4</v>
      </c>
      <c r="D29" s="14" t="s">
        <v>41</v>
      </c>
    </row>
    <row r="30" customFormat="false" ht="15" hidden="false" customHeight="false" outlineLevel="0" collapsed="false">
      <c r="A30" s="12" t="n">
        <v>29</v>
      </c>
      <c r="B30" s="12" t="s">
        <v>7</v>
      </c>
      <c r="C30" s="15" t="s">
        <v>4</v>
      </c>
      <c r="D30" s="14" t="s">
        <v>42</v>
      </c>
    </row>
    <row r="31" customFormat="false" ht="15" hidden="false" customHeight="false" outlineLevel="0" collapsed="false">
      <c r="A31" s="12" t="n">
        <v>30</v>
      </c>
      <c r="B31" s="12" t="s">
        <v>7</v>
      </c>
      <c r="C31" s="16" t="s">
        <v>3</v>
      </c>
      <c r="D31" s="14" t="s">
        <v>43</v>
      </c>
    </row>
    <row r="32" customFormat="false" ht="15" hidden="false" customHeight="false" outlineLevel="0" collapsed="false">
      <c r="A32" s="12" t="n">
        <v>31</v>
      </c>
      <c r="B32" s="12" t="s">
        <v>7</v>
      </c>
      <c r="C32" s="15" t="s">
        <v>4</v>
      </c>
      <c r="D32" s="14" t="s">
        <v>44</v>
      </c>
    </row>
    <row r="33" customFormat="false" ht="23.85" hidden="false" customHeight="false" outlineLevel="0" collapsed="false">
      <c r="A33" s="12" t="n">
        <v>32</v>
      </c>
      <c r="B33" s="12" t="s">
        <v>7</v>
      </c>
      <c r="C33" s="15" t="s">
        <v>4</v>
      </c>
      <c r="D33" s="14" t="s">
        <v>45</v>
      </c>
    </row>
    <row r="34" customFormat="false" ht="15" hidden="false" customHeight="false" outlineLevel="0" collapsed="false">
      <c r="A34" s="12" t="n">
        <v>33</v>
      </c>
      <c r="B34" s="12" t="s">
        <v>7</v>
      </c>
      <c r="C34" s="15" t="s">
        <v>4</v>
      </c>
      <c r="D34" s="14" t="s">
        <v>46</v>
      </c>
    </row>
    <row r="35" customFormat="false" ht="15" hidden="false" customHeight="false" outlineLevel="0" collapsed="false">
      <c r="A35" s="12" t="n">
        <v>34</v>
      </c>
      <c r="B35" s="12" t="s">
        <v>7</v>
      </c>
      <c r="C35" s="13" t="s">
        <v>2</v>
      </c>
      <c r="D35" s="14" t="s">
        <v>47</v>
      </c>
    </row>
    <row r="36" customFormat="false" ht="15" hidden="false" customHeight="false" outlineLevel="0" collapsed="false">
      <c r="A36" s="12" t="n">
        <v>35</v>
      </c>
      <c r="B36" s="12" t="s">
        <v>7</v>
      </c>
      <c r="C36" s="13" t="s">
        <v>2</v>
      </c>
      <c r="D36" s="14" t="s">
        <v>48</v>
      </c>
    </row>
    <row r="37" customFormat="false" ht="15" hidden="false" customHeight="false" outlineLevel="0" collapsed="false">
      <c r="A37" s="12" t="n">
        <v>36</v>
      </c>
      <c r="B37" s="12" t="s">
        <v>7</v>
      </c>
      <c r="C37" s="15" t="s">
        <v>4</v>
      </c>
      <c r="D37" s="14" t="s">
        <v>49</v>
      </c>
    </row>
    <row r="38" customFormat="false" ht="15" hidden="false" customHeight="false" outlineLevel="0" collapsed="false">
      <c r="A38" s="12" t="n">
        <v>37</v>
      </c>
      <c r="B38" s="12" t="s">
        <v>7</v>
      </c>
      <c r="C38" s="13" t="s">
        <v>2</v>
      </c>
      <c r="D38" s="14" t="s">
        <v>50</v>
      </c>
    </row>
    <row r="39" customFormat="false" ht="15" hidden="false" customHeight="false" outlineLevel="0" collapsed="false">
      <c r="A39" s="12" t="n">
        <v>38</v>
      </c>
      <c r="B39" s="12" t="s">
        <v>7</v>
      </c>
      <c r="C39" s="15" t="s">
        <v>4</v>
      </c>
      <c r="D39" s="14" t="s">
        <v>51</v>
      </c>
    </row>
    <row r="40" customFormat="false" ht="15" hidden="false" customHeight="false" outlineLevel="0" collapsed="false">
      <c r="A40" s="12" t="n">
        <v>39</v>
      </c>
      <c r="B40" s="12" t="s">
        <v>7</v>
      </c>
      <c r="C40" s="13" t="s">
        <v>2</v>
      </c>
      <c r="D40" s="14" t="s">
        <v>52</v>
      </c>
    </row>
    <row r="41" customFormat="false" ht="15" hidden="false" customHeight="false" outlineLevel="0" collapsed="false">
      <c r="A41" s="12" t="n">
        <v>40</v>
      </c>
      <c r="B41" s="12" t="s">
        <v>7</v>
      </c>
      <c r="C41" s="16" t="s">
        <v>3</v>
      </c>
      <c r="D41" s="14" t="s">
        <v>53</v>
      </c>
    </row>
    <row r="42" customFormat="false" ht="23.85" hidden="false" customHeight="false" outlineLevel="0" collapsed="false">
      <c r="A42" s="12" t="n">
        <v>41</v>
      </c>
      <c r="B42" s="12" t="s">
        <v>7</v>
      </c>
      <c r="C42" s="16" t="s">
        <v>3</v>
      </c>
      <c r="D42" s="14" t="s">
        <v>54</v>
      </c>
    </row>
    <row r="43" customFormat="false" ht="23.85" hidden="false" customHeight="false" outlineLevel="0" collapsed="false">
      <c r="A43" s="12" t="n">
        <v>42</v>
      </c>
      <c r="B43" s="12" t="s">
        <v>7</v>
      </c>
      <c r="C43" s="15" t="s">
        <v>4</v>
      </c>
      <c r="D43" s="14" t="s">
        <v>55</v>
      </c>
    </row>
    <row r="44" customFormat="false" ht="15" hidden="false" customHeight="false" outlineLevel="0" collapsed="false">
      <c r="A44" s="12" t="n">
        <v>43</v>
      </c>
      <c r="B44" s="12" t="s">
        <v>7</v>
      </c>
      <c r="C44" s="16" t="s">
        <v>3</v>
      </c>
      <c r="D44" s="14" t="s">
        <v>56</v>
      </c>
    </row>
    <row r="45" customFormat="false" ht="15" hidden="false" customHeight="false" outlineLevel="0" collapsed="false">
      <c r="A45" s="12" t="n">
        <v>44</v>
      </c>
      <c r="B45" s="12" t="s">
        <v>7</v>
      </c>
      <c r="C45" s="13" t="s">
        <v>2</v>
      </c>
      <c r="D45" s="14" t="s">
        <v>57</v>
      </c>
    </row>
    <row r="46" customFormat="false" ht="15" hidden="false" customHeight="false" outlineLevel="0" collapsed="false">
      <c r="A46" s="12" t="n">
        <v>45</v>
      </c>
      <c r="B46" s="12" t="s">
        <v>8</v>
      </c>
      <c r="C46" s="15" t="s">
        <v>4</v>
      </c>
      <c r="D46" s="14" t="s">
        <v>58</v>
      </c>
    </row>
    <row r="47" customFormat="false" ht="15" hidden="false" customHeight="false" outlineLevel="0" collapsed="false">
      <c r="A47" s="12" t="n">
        <v>46</v>
      </c>
      <c r="B47" s="12" t="s">
        <v>8</v>
      </c>
      <c r="C47" s="15" t="s">
        <v>4</v>
      </c>
      <c r="D47" s="14" t="s">
        <v>59</v>
      </c>
    </row>
    <row r="48" customFormat="false" ht="15" hidden="false" customHeight="false" outlineLevel="0" collapsed="false">
      <c r="A48" s="12" t="n">
        <v>47</v>
      </c>
      <c r="B48" s="12" t="s">
        <v>8</v>
      </c>
      <c r="C48" s="15" t="s">
        <v>4</v>
      </c>
      <c r="D48" s="14" t="s">
        <v>60</v>
      </c>
    </row>
    <row r="49" customFormat="false" ht="15" hidden="false" customHeight="false" outlineLevel="0" collapsed="false">
      <c r="A49" s="12" t="n">
        <v>48</v>
      </c>
      <c r="B49" s="12" t="s">
        <v>8</v>
      </c>
      <c r="C49" s="13" t="s">
        <v>2</v>
      </c>
      <c r="D49" s="14" t="s">
        <v>61</v>
      </c>
    </row>
    <row r="50" customFormat="false" ht="15" hidden="false" customHeight="false" outlineLevel="0" collapsed="false">
      <c r="A50" s="12" t="n">
        <v>49</v>
      </c>
      <c r="B50" s="12" t="s">
        <v>8</v>
      </c>
      <c r="C50" s="15" t="s">
        <v>4</v>
      </c>
      <c r="D50" s="14" t="s">
        <v>62</v>
      </c>
    </row>
    <row r="51" customFormat="false" ht="15" hidden="false" customHeight="false" outlineLevel="0" collapsed="false">
      <c r="A51" s="12" t="n">
        <v>50</v>
      </c>
      <c r="B51" s="12" t="s">
        <v>8</v>
      </c>
      <c r="C51" s="15" t="s">
        <v>4</v>
      </c>
      <c r="D51" s="14" t="s">
        <v>63</v>
      </c>
    </row>
    <row r="52" customFormat="false" ht="15" hidden="false" customHeight="false" outlineLevel="0" collapsed="false">
      <c r="A52" s="12" t="n">
        <v>51</v>
      </c>
      <c r="B52" s="12" t="s">
        <v>8</v>
      </c>
      <c r="C52" s="15" t="s">
        <v>4</v>
      </c>
      <c r="D52" s="14" t="s">
        <v>64</v>
      </c>
    </row>
    <row r="53" customFormat="false" ht="15" hidden="false" customHeight="false" outlineLevel="0" collapsed="false">
      <c r="A53" s="12" t="n">
        <v>52</v>
      </c>
      <c r="B53" s="12" t="s">
        <v>8</v>
      </c>
      <c r="C53" s="15" t="s">
        <v>4</v>
      </c>
      <c r="D53" s="14" t="s">
        <v>65</v>
      </c>
    </row>
    <row r="54" customFormat="false" ht="15" hidden="false" customHeight="false" outlineLevel="0" collapsed="false">
      <c r="A54" s="12" t="n">
        <v>53</v>
      </c>
      <c r="B54" s="12" t="s">
        <v>8</v>
      </c>
      <c r="C54" s="13" t="s">
        <v>2</v>
      </c>
      <c r="D54" s="14" t="s">
        <v>66</v>
      </c>
    </row>
    <row r="55" customFormat="false" ht="15" hidden="false" customHeight="false" outlineLevel="0" collapsed="false">
      <c r="A55" s="12" t="n">
        <v>54</v>
      </c>
      <c r="B55" s="12" t="s">
        <v>8</v>
      </c>
      <c r="C55" s="13" t="s">
        <v>2</v>
      </c>
      <c r="D55" s="14" t="s">
        <v>67</v>
      </c>
    </row>
    <row r="56" customFormat="false" ht="15" hidden="false" customHeight="false" outlineLevel="0" collapsed="false">
      <c r="A56" s="12" t="n">
        <v>55</v>
      </c>
      <c r="B56" s="12" t="s">
        <v>8</v>
      </c>
      <c r="C56" s="15" t="s">
        <v>4</v>
      </c>
      <c r="D56" s="14" t="s">
        <v>68</v>
      </c>
    </row>
    <row r="57" customFormat="false" ht="15" hidden="false" customHeight="false" outlineLevel="0" collapsed="false">
      <c r="A57" s="12" t="n">
        <v>56</v>
      </c>
      <c r="B57" s="12" t="s">
        <v>8</v>
      </c>
      <c r="C57" s="15" t="s">
        <v>4</v>
      </c>
      <c r="D57" s="14" t="s">
        <v>69</v>
      </c>
    </row>
    <row r="58" customFormat="false" ht="15" hidden="false" customHeight="false" outlineLevel="0" collapsed="false">
      <c r="A58" s="12" t="n">
        <v>57</v>
      </c>
      <c r="B58" s="12" t="s">
        <v>8</v>
      </c>
      <c r="C58" s="15" t="s">
        <v>4</v>
      </c>
      <c r="D58" s="14" t="s">
        <v>70</v>
      </c>
    </row>
    <row r="59" customFormat="false" ht="15" hidden="false" customHeight="false" outlineLevel="0" collapsed="false">
      <c r="A59" s="12" t="n">
        <v>58</v>
      </c>
      <c r="B59" s="12" t="s">
        <v>8</v>
      </c>
      <c r="C59" s="13" t="s">
        <v>2</v>
      </c>
      <c r="D59" s="14" t="s">
        <v>71</v>
      </c>
    </row>
    <row r="60" customFormat="false" ht="15" hidden="false" customHeight="false" outlineLevel="0" collapsed="false">
      <c r="A60" s="12" t="n">
        <v>59</v>
      </c>
      <c r="B60" s="12" t="s">
        <v>8</v>
      </c>
      <c r="C60" s="13" t="s">
        <v>2</v>
      </c>
      <c r="D60" s="14" t="s">
        <v>72</v>
      </c>
    </row>
    <row r="61" customFormat="false" ht="15" hidden="false" customHeight="false" outlineLevel="0" collapsed="false">
      <c r="A61" s="12" t="n">
        <v>60</v>
      </c>
      <c r="B61" s="12" t="s">
        <v>8</v>
      </c>
      <c r="C61" s="15" t="s">
        <v>4</v>
      </c>
      <c r="D61" s="14" t="s">
        <v>73</v>
      </c>
    </row>
  </sheetData>
  <autoFilter ref="A1:D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2026-10-17T12:03:49Z</dcterms:created>
  <dc:creator>openpyxl</dc:creator>
  <dc:description/>
  <dc:language>en-US</dc:language>
  <cp:lastModifiedBy/>
  <dcterms:modified xsi:type="dcterms:W3CDTF">2026-10-17T12:03:49Z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